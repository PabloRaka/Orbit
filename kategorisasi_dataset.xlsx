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tegorisasi Dataset" sheetId="1" state="visible" r:id="rId3"/>
    <sheet name="Ringkas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<sst xmlns="http://schemas.openxmlformats.org/spreadsheetml/2006/main" count="362" uniqueCount="182">
  <si>
    <t xml:space="preserve">No</t>
  </si>
  <si>
    <t xml:space="preserve">Kategori Awal (dokumen)</t>
  </si>
  <si>
    <t xml:space="preserve">Nama Dataset</t>
  </si>
  <si>
    <t xml:space="preserve">Link</t>
  </si>
  <si>
    <t xml:space="preserve">Jenis Data</t>
  </si>
  <si>
    <t xml:space="preserve">Kategori Seharusnya</t>
  </si>
  <si>
    <t xml:space="preserve">Status</t>
  </si>
  <si>
    <t xml:space="preserve">Catatan</t>
  </si>
  <si>
    <t xml:space="preserve">Computer use</t>
  </si>
  <si>
    <t xml:space="preserve">markov-ai/computer-use-large</t>
  </si>
  <si>
    <t xml:space="preserve">https://huggingface.co/datasets/markov-ai/computer-use-large</t>
  </si>
  <si>
    <t xml:space="preserve">Pre-train</t>
  </si>
  <si>
    <t xml:space="preserve">OK</t>
  </si>
  <si>
    <t xml:space="preserve">48.478 video rekaman layar mentah (~12.300 jam), tanpa label aksi -&gt; cocok untuk pre-training, bukan data terstruktur.</t>
  </si>
  <si>
    <t xml:space="preserve">markov-ai/computer-use</t>
  </si>
  <si>
    <t xml:space="preserve">https://huggingface.co/datasets/markov-ai/computer-use</t>
  </si>
  <si>
    <t xml:space="preserve">SFT</t>
  </si>
  <si>
    <t xml:space="preserve">Trajektori agen (instruksi + aksi per langkah), difilter hanya yang berhasil (score=1.0) -&gt; siap fine-tune.</t>
  </si>
  <si>
    <t xml:space="preserve">Bahasa</t>
  </si>
  <si>
    <t xml:space="preserve">HuggingFaceFW/fineweb</t>
  </si>
  <si>
    <t xml:space="preserve">https://huggingface.co/datasets/HuggingFaceFW/fineweb</t>
  </si>
  <si>
    <t xml:space="preserve">Perlu dicek</t>
  </si>
  <si>
    <t xml:space="preserve">Korpus web umum, mayoritas Inggris - bukan spesifik Bahasa Indonesia. Cek apakah memang untuk basis pre-train umum.</t>
  </si>
  <si>
    <t xml:space="preserve">HuggingFaceFW/fineweb-edu</t>
  </si>
  <si>
    <t xml:space="preserve">https://huggingface.co/datasets/HuggingFaceFW/fineweb-edu</t>
  </si>
  <si>
    <t xml:space="preserve">Korpus web edukasi, mayoritas Inggris - bukan spesifik Bahasa Indonesia.</t>
  </si>
  <si>
    <t xml:space="preserve">openbmb/Ultra-FineWeb-L3</t>
  </si>
  <si>
    <t xml:space="preserve">https://huggingface.co/datasets/openbmb/Ultra-FineWeb-L3</t>
  </si>
  <si>
    <t xml:space="preserve">Korpus web multibahasa (mayoritas Inggris/Cina) - bukan spesifik Bahasa Indonesia.</t>
  </si>
  <si>
    <t xml:space="preserve">Lyon28/Corpus-Indonesia</t>
  </si>
  <si>
    <t xml:space="preserve">https://huggingface.co/datasets/Lyon28/Corpus-Indonesia</t>
  </si>
  <si>
    <t xml:space="preserve">19,5 juta baris teks mentah Bahasa Indonesia - sesuai kategori.</t>
  </si>
  <si>
    <t xml:space="preserve">LorthGyu/indonesian-recipes</t>
  </si>
  <si>
    <t xml:space="preserve">https://huggingface.co/datasets/LorthGyu/indonesian-recipes</t>
  </si>
  <si>
    <t xml:space="preserve">Bahasa (SFT)</t>
  </si>
  <si>
    <t xml:space="preserve">Salah kategori</t>
  </si>
  <si>
    <t xml:space="preserve">Dataset resep terstruktur (judul/bahan/langkah) untuk fine-tuning, bukan korpus mentah pre-train. Jangan dicampur dengan fineweb/mc4-id.</t>
  </si>
  <si>
    <t xml:space="preserve">indonesian-nlp/mc4-id</t>
  </si>
  <si>
    <t xml:space="preserve">https://huggingface.co/datasets/indonesian-nlp/mc4-id</t>
  </si>
  <si>
    <t xml:space="preserve">Subset mC4 Bahasa Indonesia - sesuai kategori.</t>
  </si>
  <si>
    <t xml:space="preserve">HuggingFaceTB/smoltalk</t>
  </si>
  <si>
    <t xml:space="preserve">https://huggingface.co/datasets/HuggingFaceTB/smoltalk</t>
  </si>
  <si>
    <t xml:space="preserve">Umum (SFT, non-Indonesia)</t>
  </si>
  <si>
    <t xml:space="preserve">Dataset instruction-tuning berbahasa Inggris, tidak ada hubungannya dengan Bahasa Indonesia sama sekali.</t>
  </si>
  <si>
    <t xml:space="preserve">Science</t>
  </si>
  <si>
    <t xml:space="preserve">nvidia/Nemotron-SFT-Science-v2</t>
  </si>
  <si>
    <t xml:space="preserve">https://huggingface.co/datasets/nvidia/Nemotron-SFT-Science-v2</t>
  </si>
  <si>
    <t xml:space="preserve">Sesuai nama &amp; isinya.</t>
  </si>
  <si>
    <t xml:space="preserve">tasksource/ScienceQA_text_only</t>
  </si>
  <si>
    <t xml:space="preserve">https://huggingface.co/datasets/tasksource/ScienceQA_text_only</t>
  </si>
  <si>
    <t xml:space="preserve">Eval</t>
  </si>
  <si>
    <t xml:space="preserve">Benchmark QA sains (ada train/validation/test), umum dipakai sebagai eval.</t>
  </si>
  <si>
    <t xml:space="preserve">product-science/xlam-function-calling-60k-raw</t>
  </si>
  <si>
    <t xml:space="preserve">https://huggingface.co/datasets/product-science/xlam-function-calling-60k-raw</t>
  </si>
  <si>
    <t xml:space="preserve">Tooling-calls</t>
  </si>
  <si>
    <t xml:space="preserve">Turunan dari Salesforce/xlam-function-calling-60k (function-calling/tool-use), bukan dataset sains. Seharusnya di kategori tooling-calls.</t>
  </si>
  <si>
    <t xml:space="preserve">Math</t>
  </si>
  <si>
    <t xml:space="preserve">EleutherAI/hendrycks_math</t>
  </si>
  <si>
    <t xml:space="preserve">https://huggingface.co/datasets/EleutherAI/hendrycks_math</t>
  </si>
  <si>
    <t xml:space="preserve">Benchmark MATH klasik (walau punya split train, umum dipakai sebagai eval).</t>
  </si>
  <si>
    <t xml:space="preserve">HuggingFaceH4/MATH-500</t>
  </si>
  <si>
    <t xml:space="preserve">https://huggingface.co/datasets/HuggingFaceH4/MATH-500</t>
  </si>
  <si>
    <t xml:space="preserve">Subset 500 soal untuk evaluasi.</t>
  </si>
  <si>
    <t xml:space="preserve">math-ai/aime25</t>
  </si>
  <si>
    <t xml:space="preserve">https://huggingface.co/datasets/math-ai/aime25</t>
  </si>
  <si>
    <t xml:space="preserve">Soal kompetisi AIME 2025.</t>
  </si>
  <si>
    <t xml:space="preserve">open-r1/OpenR1-Math-220k</t>
  </si>
  <si>
    <t xml:space="preserve">https://huggingface.co/datasets/open-r1/OpenR1-Math-220k</t>
  </si>
  <si>
    <t xml:space="preserve">Trace penalaran hasil distilasi untuk fine-tuning.</t>
  </si>
  <si>
    <t xml:space="preserve">nvidia/Nemotron-CC-Math-v1</t>
  </si>
  <si>
    <t xml:space="preserve">https://huggingface.co/datasets/nvidia/Nemotron-CC-Math-v1</t>
  </si>
  <si>
    <t xml:space="preserve">Korpus matematika dari Common Crawl untuk pre-training.</t>
  </si>
  <si>
    <t xml:space="preserve">HuggingFaceH4/MATH-500 (duplikat)</t>
  </si>
  <si>
    <t xml:space="preserve">Duplikat entri</t>
  </si>
  <si>
    <t xml:space="preserve">Muncul 2x di daftar asli Anda (baris 2 &amp; baris 6 pada bagian Math) - sama persis dengan entri di atas.</t>
  </si>
  <si>
    <t xml:space="preserve">HuggingFaceTB/finemath</t>
  </si>
  <si>
    <t xml:space="preserve">https://huggingface.co/datasets/HuggingFaceTB/finemath</t>
  </si>
  <si>
    <t xml:space="preserve">Korpus matematika gaya FineWeb untuk pre-training.</t>
  </si>
  <si>
    <t xml:space="preserve">Code</t>
  </si>
  <si>
    <t xml:space="preserve">livecodebench/code_generation_lite</t>
  </si>
  <si>
    <t xml:space="preserve">https://huggingface.co/datasets/livecodebench/code_generation_lite</t>
  </si>
  <si>
    <t xml:space="preserve">LiveCodeBench, benchmark generasi kode.</t>
  </si>
  <si>
    <t xml:space="preserve">HuggingFaceCode/stack-v3-train</t>
  </si>
  <si>
    <t xml:space="preserve">https://huggingface.co/datasets/HuggingFaceCode/stack-v3-train</t>
  </si>
  <si>
    <t xml:space="preserve">The Stack v3, korpus kode untuk pre-training.</t>
  </si>
  <si>
    <t xml:space="preserve">deepmind/code_contests</t>
  </si>
  <si>
    <t xml:space="preserve">https://huggingface.co/datasets/deepmind/code_contests</t>
  </si>
  <si>
    <t xml:space="preserve">SFT + Eval</t>
  </si>
  <si>
    <t xml:space="preserve">OK (dual-purpose)</t>
  </si>
  <si>
    <t xml:space="preserve">Punya split train (fine-tune AlphaCode) serta valid/test (eval) - bisa dipakai untuk keduanya.</t>
  </si>
  <si>
    <t xml:space="preserve">microsoft/rStar-Coder</t>
  </si>
  <si>
    <t xml:space="preserve">https://huggingface.co/datasets/microsoft/rStar-Coder</t>
  </si>
  <si>
    <t xml:space="preserve">Berisi subset eksplisit seed_sft/synthetic_sft/synthetic_rl.</t>
  </si>
  <si>
    <t xml:space="preserve">code-search-net/code_search_net</t>
  </si>
  <si>
    <t xml:space="preserve">https://huggingface.co/datasets/code-search-net/code_search_net</t>
  </si>
  <si>
    <t xml:space="preserve">Pre-train/riset</t>
  </si>
  <si>
    <t xml:space="preserve">Dataset lama (2019) pasangan kode-docstring, biasa untuk pretraining/riset code search, bukan format SFT instruksi modern.</t>
  </si>
  <si>
    <t xml:space="preserve">codeparrot/codeparrot-clean</t>
  </si>
  <si>
    <t xml:space="preserve">https://huggingface.co/datasets/codeparrot/codeparrot-clean</t>
  </si>
  <si>
    <t xml:space="preserve">Korpus Python bersih untuk pre-training.</t>
  </si>
  <si>
    <t xml:space="preserve">m-a-p/CodeFeedback-Filtered-Instruction</t>
  </si>
  <si>
    <t xml:space="preserve">https://huggingface.co/datasets/m-a-p/CodeFeedback-Filtered-Instruction</t>
  </si>
  <si>
    <t xml:space="preserve">Dataset instruksi untuk kode.</t>
  </si>
  <si>
    <t xml:space="preserve">iamtarun/python_code_instructions_18k_alpaca</t>
  </si>
  <si>
    <t xml:space="preserve">https://huggingface.co/datasets/iamtarun/python_code_instructions_18k_alpaca</t>
  </si>
  <si>
    <t xml:space="preserve">Format alpaca (instruction-tuning).</t>
  </si>
  <si>
    <t xml:space="preserve">bigcode/the-stack-dedup</t>
  </si>
  <si>
    <t xml:space="preserve">https://huggingface.co/datasets/bigcode/the-stack-dedup</t>
  </si>
  <si>
    <t xml:space="preserve">Versi dedup dari The Stack, untuk pre-training.</t>
  </si>
  <si>
    <t xml:space="preserve">bigcode/the-stack-github-issues</t>
  </si>
  <si>
    <t xml:space="preserve">https://huggingface.co/datasets/bigcode/the-stack-github-issues</t>
  </si>
  <si>
    <t xml:space="preserve">Bagian dari campuran pretraining StarCoderData.</t>
  </si>
  <si>
    <t xml:space="preserve">IFM/Code-Reasoning</t>
  </si>
  <si>
    <t xml:space="preserve">https://huggingface.co/datasets/IFM/Code-Reasoning</t>
  </si>
  <si>
    <t xml:space="preserve">Trace penalaran kode (split train).</t>
  </si>
  <si>
    <t xml:space="preserve">Terminal</t>
  </si>
  <si>
    <t xml:space="preserve">gayathrimanoj/dataset_shell_alpaca</t>
  </si>
  <si>
    <t xml:space="preserve">https://huggingface.co/datasets/gayathrimanoj/dataset_shell_alpaca</t>
  </si>
  <si>
    <t xml:space="preserve">Format alpaca untuk perintah shell.</t>
  </si>
  <si>
    <t xml:space="preserve">NousResearch/terminal-bench-2</t>
  </si>
  <si>
    <t xml:space="preserve">https://huggingface.co/datasets/NousResearch/terminal-bench-2</t>
  </si>
  <si>
    <t xml:space="preserve">Terminal-Bench 2.0, benchmark agen terminal.</t>
  </si>
  <si>
    <t xml:space="preserve">iselabvn/Linux-terminal-tool-calling</t>
  </si>
  <si>
    <t xml:space="preserve">https://huggingface.co/datasets/iselabvn/Linux-terminal-tool-calling</t>
  </si>
  <si>
    <t xml:space="preserve">Dataset tool-calling kecil untuk training agen Linux terminal.</t>
  </si>
  <si>
    <t xml:space="preserve">nvidia/Nemotron-Terminal-Corpus</t>
  </si>
  <si>
    <t xml:space="preserve">https://huggingface.co/datasets/nvidia/Nemotron-Terminal-Corpus</t>
  </si>
  <si>
    <t xml:space="preserve">Terminal (SFT)</t>
  </si>
  <si>
    <t xml:space="preserve">Salah label</t>
  </si>
  <si>
    <t xml:space="preserve">Meski namanya 'Corpus' (terkesan pre-train), isinya trajektori eksekusi terkurasi untuk TRAINING agen terminal (sumber data SFT NVIDIA), bukan teks mentah pre-train.</t>
  </si>
  <si>
    <t xml:space="preserve">NousResearch/hermes-function-calling-v1</t>
  </si>
  <si>
    <t xml:space="preserve">https://huggingface.co/datasets/NousResearch/hermes-function-calling-v1</t>
  </si>
  <si>
    <t xml:space="preserve">Dataset function-calling untuk training.</t>
  </si>
  <si>
    <t xml:space="preserve">Salesforce/xlam-function-calling-60k</t>
  </si>
  <si>
    <t xml:space="preserve">https://huggingface.co/datasets/Salesforce/xlam-function-calling-60k</t>
  </si>
  <si>
    <t xml:space="preserve">Ada split train+test, data function calling.</t>
  </si>
  <si>
    <t xml:space="preserve">NousResearch/openthoughts-tblite</t>
  </si>
  <si>
    <t xml:space="preserve">https://huggingface.co/datasets/NousResearch/openthoughts-tblite</t>
  </si>
  <si>
    <t xml:space="preserve">Ini BUKAN data tool-calling untuk training - ini benchmark (100 task Terminal-Bench yang dikurasi untuk dev-set evaluasi model). Seharusnya masuk kategori Terminal sebagai Eval.</t>
  </si>
  <si>
    <t xml:space="preserve">Cyber</t>
  </si>
  <si>
    <t xml:space="preserve">AlicanKiraz0/Cybersecurity-Dataset-Fenrir-v2.1</t>
  </si>
  <si>
    <t xml:space="preserve">https://huggingface.co/datasets/AlicanKiraz0/Cybersecurity-Dataset-Fenrir-v2.1</t>
  </si>
  <si>
    <t xml:space="preserve">Eksplisit disebut 'ready-to-train SFT' oleh pembuatnya.</t>
  </si>
  <si>
    <t xml:space="preserve">SHSLab/Omni-Frontier-Distillation-SFT-Cyber-Coding-Med-dataset-collection</t>
  </si>
  <si>
    <t xml:space="preserve">https://huggingface.co/datasets/SHSLab/Omni-Frontier-Distillation-SFT-Cyber-Coding-Med-dataset-collection</t>
  </si>
  <si>
    <t xml:space="preserve">Sesuai nama (SFT).</t>
  </si>
  <si>
    <t xml:space="preserve">sunblaze-ucb/cybergym</t>
  </si>
  <si>
    <t xml:space="preserve">https://huggingface.co/datasets/sunblaze-ucb/cybergym</t>
  </si>
  <si>
    <t xml:space="preserve">Benchmark CyberGym.</t>
  </si>
  <si>
    <t xml:space="preserve">echel0nn1881/kimi-cyber-reasoning</t>
  </si>
  <si>
    <t xml:space="preserve">https://huggingface.co/datasets/echel0nn1881/kimi-cyber-reasoning</t>
  </si>
  <si>
    <t xml:space="preserve">SFT (perkiraan)</t>
  </si>
  <si>
    <t xml:space="preserve">Dataset viewer/README tidak sepenuhnya terindeks saat pengecekan; berdasarkan pola nama (trace 'reasoning' hasil distilasi Kimi) kemungkinan besar SFT, tapi sebaiknya dikonfirmasi manual.</t>
  </si>
  <si>
    <t xml:space="preserve">Vyber07/cyber-security</t>
  </si>
  <si>
    <t xml:space="preserve">https://huggingface.co/datasets/Vyber07/cyber-security</t>
  </si>
  <si>
    <t xml:space="preserve">Pre-train (korpus mentah)</t>
  </si>
  <si>
    <t xml:space="preserve">Bukan format instruksi (system/user/assistant) seperti Fenrir - ini ~95GB teks mentah dari berbagai sumber (HTB, TryHackMe, dll), lebih cocok sebagai korpus domain/continued pre-training daripada SFT langsung.</t>
  </si>
  <si>
    <t xml:space="preserve">Long text horizon</t>
  </si>
  <si>
    <t xml:space="preserve">tuandunghcmut/theagentcompany-planning</t>
  </si>
  <si>
    <t xml:space="preserve">https://huggingface.co/datasets/tuandunghcmut/theagentcompany-planning</t>
  </si>
  <si>
    <t xml:space="preserve">Versi standar benchmark TheAgentCompany untuk evaluasi.</t>
  </si>
  <si>
    <t xml:space="preserve">TheAgentCompany/experiments</t>
  </si>
  <si>
    <t xml:space="preserve">https://github.com/TheAgentCompany/experiments</t>
  </si>
  <si>
    <t xml:space="preserve">OK (bukan dataset HF)</t>
  </si>
  <si>
    <t xml:space="preserve">Repo eksperimen/kode pendukung benchmark, bukan dataset Hugging Face.</t>
  </si>
  <si>
    <t xml:space="preserve">xlang-ai/OSWorld-V2</t>
  </si>
  <si>
    <t xml:space="preserve">https://github.com/xlang-ai/OSWorld-V2</t>
  </si>
  <si>
    <t xml:space="preserve">Repo benchmark OSWorld-V2, bukan dataset Hugging Face.</t>
  </si>
  <si>
    <t xml:space="preserve">IntelligenceLab/Long-Horizon-Terminal-Bench</t>
  </si>
  <si>
    <t xml:space="preserve">https://huggingface.co/datasets/IntelligenceLab/Long-Horizon-Terminal-Bench</t>
  </si>
  <si>
    <t xml:space="preserve">LHTB, benchmark 46 task agen long-horizon terminal.</t>
  </si>
  <si>
    <t xml:space="preserve">OSWorld-V2 (situs)</t>
  </si>
  <si>
    <t xml:space="preserve">https://osworld-v2.xlang.ai/</t>
  </si>
  <si>
    <t xml:space="preserve">OK (situs benchmark)</t>
  </si>
  <si>
    <t xml:space="preserve">Halaman resmi benchmark OSWorld-V2.</t>
  </si>
  <si>
    <t xml:space="preserve">SWE-bench (situs)</t>
  </si>
  <si>
    <t xml:space="preserve">https://www.swebench.com/</t>
  </si>
  <si>
    <t xml:space="preserve">Halaman resmi benchmark SWE-bench.</t>
  </si>
  <si>
    <t xml:space="preserve">Ringkasan Jumlah per Jenis Data</t>
  </si>
  <si>
    <t xml:space="preserve">Jumlah Dataset</t>
  </si>
  <si>
    <t xml:space="preserve">Total dataset terdaftar</t>
  </si>
  <si>
    <t xml:space="preserve">Jumlah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</si>
</sst>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Dataset" displayName="TabelDataset" ref="A1:H49" headerRowCount="1" totalsRowCount="0" totalsRowShown="0">
  <autoFilter ref="A1:H49"/>
  <tableColumns count="8">
    <tableColumn id="1" name="No"/>
    <tableColumn id="2" name="Kategori Awal (dokumen)"/>
    <tableColumn id="3" name="Nama Dataset"/>
    <tableColumn id="4" name="Link"/>
    <tableColumn id="5" name="Jenis Data"/>
    <tableColumn id="6" name="Kategori Seharusnya"/>
    <tableColumn id="7" name="Status"/>
    <tableColumn id="8" name="Catata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5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8</v>
      </c>
      <c r="G2" s="2" t="s">
        <v>12</v>
      </c>
      <c r="H2" s="2" t="s">
        <v>13</v>
      </c>
    </row>
    <row r="3" customFormat="false" ht="23.85" hidden="false" customHeight="false" outlineLevel="0" collapsed="false">
      <c r="A3" s="2" t="n">
        <v>2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8</v>
      </c>
      <c r="G3" s="2" t="s">
        <v>12</v>
      </c>
      <c r="H3" s="2" t="s">
        <v>17</v>
      </c>
    </row>
    <row r="4" customFormat="false" ht="23.85" hidden="false" customHeight="false" outlineLevel="0" collapsed="false">
      <c r="A4" s="3" t="n">
        <v>3</v>
      </c>
      <c r="B4" s="3" t="s">
        <v>18</v>
      </c>
      <c r="C4" s="3" t="s">
        <v>19</v>
      </c>
      <c r="D4" s="3" t="s">
        <v>20</v>
      </c>
      <c r="E4" s="3" t="s">
        <v>11</v>
      </c>
      <c r="F4" s="3" t="s">
        <v>18</v>
      </c>
      <c r="G4" s="3" t="s">
        <v>21</v>
      </c>
      <c r="H4" s="3" t="s">
        <v>22</v>
      </c>
    </row>
    <row r="5" customFormat="false" ht="23.85" hidden="false" customHeight="false" outlineLevel="0" collapsed="false">
      <c r="A5" s="3" t="n">
        <v>4</v>
      </c>
      <c r="B5" s="3" t="s">
        <v>18</v>
      </c>
      <c r="C5" s="3" t="s">
        <v>23</v>
      </c>
      <c r="D5" s="3" t="s">
        <v>24</v>
      </c>
      <c r="E5" s="3" t="s">
        <v>11</v>
      </c>
      <c r="F5" s="3" t="s">
        <v>18</v>
      </c>
      <c r="G5" s="3" t="s">
        <v>21</v>
      </c>
      <c r="H5" s="3" t="s">
        <v>25</v>
      </c>
    </row>
    <row r="6" customFormat="false" ht="23.85" hidden="false" customHeight="false" outlineLevel="0" collapsed="false">
      <c r="A6" s="3" t="n">
        <v>5</v>
      </c>
      <c r="B6" s="3" t="s">
        <v>18</v>
      </c>
      <c r="C6" s="3" t="s">
        <v>26</v>
      </c>
      <c r="D6" s="3" t="s">
        <v>27</v>
      </c>
      <c r="E6" s="3" t="s">
        <v>11</v>
      </c>
      <c r="F6" s="3" t="s">
        <v>18</v>
      </c>
      <c r="G6" s="3" t="s">
        <v>21</v>
      </c>
      <c r="H6" s="3" t="s">
        <v>28</v>
      </c>
    </row>
    <row r="7" customFormat="false" ht="23.85" hidden="false" customHeight="false" outlineLevel="0" collapsed="false">
      <c r="A7" s="2" t="n">
        <v>6</v>
      </c>
      <c r="B7" s="2" t="s">
        <v>18</v>
      </c>
      <c r="C7" s="2" t="s">
        <v>29</v>
      </c>
      <c r="D7" s="2" t="s">
        <v>30</v>
      </c>
      <c r="E7" s="2" t="s">
        <v>11</v>
      </c>
      <c r="F7" s="2" t="s">
        <v>18</v>
      </c>
      <c r="G7" s="2" t="s">
        <v>12</v>
      </c>
      <c r="H7" s="2" t="s">
        <v>31</v>
      </c>
    </row>
    <row r="8" customFormat="false" ht="35.05" hidden="false" customHeight="false" outlineLevel="0" collapsed="false">
      <c r="A8" s="4" t="n">
        <v>7</v>
      </c>
      <c r="B8" s="4" t="s">
        <v>18</v>
      </c>
      <c r="C8" s="4" t="s">
        <v>32</v>
      </c>
      <c r="D8" s="4" t="s">
        <v>33</v>
      </c>
      <c r="E8" s="4" t="s">
        <v>16</v>
      </c>
      <c r="F8" s="4" t="s">
        <v>34</v>
      </c>
      <c r="G8" s="4" t="s">
        <v>35</v>
      </c>
      <c r="H8" s="4" t="s">
        <v>36</v>
      </c>
    </row>
    <row r="9" customFormat="false" ht="15" hidden="false" customHeight="false" outlineLevel="0" collapsed="false">
      <c r="A9" s="2" t="n">
        <v>8</v>
      </c>
      <c r="B9" s="2" t="s">
        <v>18</v>
      </c>
      <c r="C9" s="2" t="s">
        <v>37</v>
      </c>
      <c r="D9" s="2" t="s">
        <v>38</v>
      </c>
      <c r="E9" s="2" t="s">
        <v>11</v>
      </c>
      <c r="F9" s="2" t="s">
        <v>18</v>
      </c>
      <c r="G9" s="2" t="s">
        <v>12</v>
      </c>
      <c r="H9" s="2" t="s">
        <v>39</v>
      </c>
    </row>
    <row r="10" customFormat="false" ht="23.85" hidden="false" customHeight="false" outlineLevel="0" collapsed="false">
      <c r="A10" s="4" t="n">
        <v>9</v>
      </c>
      <c r="B10" s="4" t="s">
        <v>18</v>
      </c>
      <c r="C10" s="4" t="s">
        <v>40</v>
      </c>
      <c r="D10" s="4" t="s">
        <v>41</v>
      </c>
      <c r="E10" s="4" t="s">
        <v>16</v>
      </c>
      <c r="F10" s="4" t="s">
        <v>42</v>
      </c>
      <c r="G10" s="4" t="s">
        <v>35</v>
      </c>
      <c r="H10" s="4" t="s">
        <v>43</v>
      </c>
    </row>
    <row r="11" customFormat="false" ht="23.85" hidden="false" customHeight="false" outlineLevel="0" collapsed="false">
      <c r="A11" s="2" t="n">
        <v>10</v>
      </c>
      <c r="B11" s="2" t="s">
        <v>44</v>
      </c>
      <c r="C11" s="2" t="s">
        <v>45</v>
      </c>
      <c r="D11" s="2" t="s">
        <v>46</v>
      </c>
      <c r="E11" s="2" t="s">
        <v>16</v>
      </c>
      <c r="F11" s="2" t="s">
        <v>44</v>
      </c>
      <c r="G11" s="2" t="s">
        <v>12</v>
      </c>
      <c r="H11" s="2" t="s">
        <v>47</v>
      </c>
    </row>
    <row r="12" customFormat="false" ht="23.85" hidden="false" customHeight="false" outlineLevel="0" collapsed="false">
      <c r="A12" s="2" t="n">
        <v>11</v>
      </c>
      <c r="B12" s="2" t="s">
        <v>44</v>
      </c>
      <c r="C12" s="2" t="s">
        <v>48</v>
      </c>
      <c r="D12" s="2" t="s">
        <v>49</v>
      </c>
      <c r="E12" s="2" t="s">
        <v>50</v>
      </c>
      <c r="F12" s="2" t="s">
        <v>44</v>
      </c>
      <c r="G12" s="2" t="s">
        <v>12</v>
      </c>
      <c r="H12" s="2" t="s">
        <v>51</v>
      </c>
    </row>
    <row r="13" customFormat="false" ht="35.05" hidden="false" customHeight="false" outlineLevel="0" collapsed="false">
      <c r="A13" s="4" t="n">
        <v>12</v>
      </c>
      <c r="B13" s="4" t="s">
        <v>44</v>
      </c>
      <c r="C13" s="4" t="s">
        <v>52</v>
      </c>
      <c r="D13" s="4" t="s">
        <v>53</v>
      </c>
      <c r="E13" s="4" t="s">
        <v>16</v>
      </c>
      <c r="F13" s="4" t="s">
        <v>54</v>
      </c>
      <c r="G13" s="4" t="s">
        <v>35</v>
      </c>
      <c r="H13" s="4" t="s">
        <v>55</v>
      </c>
    </row>
    <row r="14" customFormat="false" ht="23.85" hidden="false" customHeight="false" outlineLevel="0" collapsed="false">
      <c r="A14" s="2" t="n">
        <v>13</v>
      </c>
      <c r="B14" s="2" t="s">
        <v>56</v>
      </c>
      <c r="C14" s="2" t="s">
        <v>57</v>
      </c>
      <c r="D14" s="2" t="s">
        <v>58</v>
      </c>
      <c r="E14" s="2" t="s">
        <v>50</v>
      </c>
      <c r="F14" s="2" t="s">
        <v>56</v>
      </c>
      <c r="G14" s="2" t="s">
        <v>12</v>
      </c>
      <c r="H14" s="2" t="s">
        <v>59</v>
      </c>
    </row>
    <row r="15" customFormat="false" ht="23.85" hidden="false" customHeight="false" outlineLevel="0" collapsed="false">
      <c r="A15" s="2" t="n">
        <v>14</v>
      </c>
      <c r="B15" s="2" t="s">
        <v>56</v>
      </c>
      <c r="C15" s="2" t="s">
        <v>60</v>
      </c>
      <c r="D15" s="2" t="s">
        <v>61</v>
      </c>
      <c r="E15" s="2" t="s">
        <v>50</v>
      </c>
      <c r="F15" s="2" t="s">
        <v>56</v>
      </c>
      <c r="G15" s="2" t="s">
        <v>12</v>
      </c>
      <c r="H15" s="2" t="s">
        <v>62</v>
      </c>
    </row>
    <row r="16" customFormat="false" ht="15" hidden="false" customHeight="false" outlineLevel="0" collapsed="false">
      <c r="A16" s="2" t="n">
        <v>15</v>
      </c>
      <c r="B16" s="2" t="s">
        <v>56</v>
      </c>
      <c r="C16" s="2" t="s">
        <v>63</v>
      </c>
      <c r="D16" s="2" t="s">
        <v>64</v>
      </c>
      <c r="E16" s="2" t="s">
        <v>50</v>
      </c>
      <c r="F16" s="2" t="s">
        <v>56</v>
      </c>
      <c r="G16" s="2" t="s">
        <v>12</v>
      </c>
      <c r="H16" s="2" t="s">
        <v>65</v>
      </c>
    </row>
    <row r="17" customFormat="false" ht="23.85" hidden="false" customHeight="false" outlineLevel="0" collapsed="false">
      <c r="A17" s="2" t="n">
        <v>16</v>
      </c>
      <c r="B17" s="2" t="s">
        <v>56</v>
      </c>
      <c r="C17" s="2" t="s">
        <v>66</v>
      </c>
      <c r="D17" s="2" t="s">
        <v>67</v>
      </c>
      <c r="E17" s="2" t="s">
        <v>16</v>
      </c>
      <c r="F17" s="2" t="s">
        <v>56</v>
      </c>
      <c r="G17" s="2" t="s">
        <v>12</v>
      </c>
      <c r="H17" s="2" t="s">
        <v>68</v>
      </c>
    </row>
    <row r="18" customFormat="false" ht="23.85" hidden="false" customHeight="false" outlineLevel="0" collapsed="false">
      <c r="A18" s="2" t="n">
        <v>17</v>
      </c>
      <c r="B18" s="2" t="s">
        <v>56</v>
      </c>
      <c r="C18" s="2" t="s">
        <v>69</v>
      </c>
      <c r="D18" s="2" t="s">
        <v>70</v>
      </c>
      <c r="E18" s="2" t="s">
        <v>11</v>
      </c>
      <c r="F18" s="2" t="s">
        <v>56</v>
      </c>
      <c r="G18" s="2" t="s">
        <v>12</v>
      </c>
      <c r="H18" s="2" t="s">
        <v>71</v>
      </c>
    </row>
    <row r="19" customFormat="false" ht="23.85" hidden="false" customHeight="false" outlineLevel="0" collapsed="false">
      <c r="A19" s="3" t="n">
        <v>18</v>
      </c>
      <c r="B19" s="3" t="s">
        <v>56</v>
      </c>
      <c r="C19" s="3" t="s">
        <v>72</v>
      </c>
      <c r="D19" s="3" t="s">
        <v>61</v>
      </c>
      <c r="E19" s="3" t="s">
        <v>50</v>
      </c>
      <c r="F19" s="3" t="s">
        <v>56</v>
      </c>
      <c r="G19" s="3" t="s">
        <v>73</v>
      </c>
      <c r="H19" s="3" t="s">
        <v>74</v>
      </c>
    </row>
    <row r="20" customFormat="false" ht="23.85" hidden="false" customHeight="false" outlineLevel="0" collapsed="false">
      <c r="A20" s="2" t="n">
        <v>19</v>
      </c>
      <c r="B20" s="2" t="s">
        <v>56</v>
      </c>
      <c r="C20" s="2" t="s">
        <v>75</v>
      </c>
      <c r="D20" s="2" t="s">
        <v>76</v>
      </c>
      <c r="E20" s="2" t="s">
        <v>11</v>
      </c>
      <c r="F20" s="2" t="s">
        <v>56</v>
      </c>
      <c r="G20" s="2" t="s">
        <v>12</v>
      </c>
      <c r="H20" s="2" t="s">
        <v>77</v>
      </c>
    </row>
    <row r="21" customFormat="false" ht="23.85" hidden="false" customHeight="false" outlineLevel="0" collapsed="false">
      <c r="A21" s="2" t="n">
        <v>20</v>
      </c>
      <c r="B21" s="2" t="s">
        <v>78</v>
      </c>
      <c r="C21" s="2" t="s">
        <v>79</v>
      </c>
      <c r="D21" s="2" t="s">
        <v>80</v>
      </c>
      <c r="E21" s="2" t="s">
        <v>50</v>
      </c>
      <c r="F21" s="2" t="s">
        <v>78</v>
      </c>
      <c r="G21" s="2" t="s">
        <v>12</v>
      </c>
      <c r="H21" s="2" t="s">
        <v>81</v>
      </c>
    </row>
    <row r="22" customFormat="false" ht="23.85" hidden="false" customHeight="false" outlineLevel="0" collapsed="false">
      <c r="A22" s="2" t="n">
        <v>21</v>
      </c>
      <c r="B22" s="2" t="s">
        <v>78</v>
      </c>
      <c r="C22" s="2" t="s">
        <v>82</v>
      </c>
      <c r="D22" s="2" t="s">
        <v>83</v>
      </c>
      <c r="E22" s="2" t="s">
        <v>11</v>
      </c>
      <c r="F22" s="2" t="s">
        <v>78</v>
      </c>
      <c r="G22" s="2" t="s">
        <v>12</v>
      </c>
      <c r="H22" s="2" t="s">
        <v>84</v>
      </c>
    </row>
    <row r="23" customFormat="false" ht="23.85" hidden="false" customHeight="false" outlineLevel="0" collapsed="false">
      <c r="A23" s="2" t="n">
        <v>22</v>
      </c>
      <c r="B23" s="2" t="s">
        <v>78</v>
      </c>
      <c r="C23" s="2" t="s">
        <v>85</v>
      </c>
      <c r="D23" s="2" t="s">
        <v>86</v>
      </c>
      <c r="E23" s="2" t="s">
        <v>87</v>
      </c>
      <c r="F23" s="2" t="s">
        <v>78</v>
      </c>
      <c r="G23" s="2" t="s">
        <v>88</v>
      </c>
      <c r="H23" s="2" t="s">
        <v>89</v>
      </c>
    </row>
    <row r="24" customFormat="false" ht="15" hidden="false" customHeight="false" outlineLevel="0" collapsed="false">
      <c r="A24" s="2" t="n">
        <v>23</v>
      </c>
      <c r="B24" s="2" t="s">
        <v>78</v>
      </c>
      <c r="C24" s="2" t="s">
        <v>90</v>
      </c>
      <c r="D24" s="2" t="s">
        <v>91</v>
      </c>
      <c r="E24" s="2" t="s">
        <v>16</v>
      </c>
      <c r="F24" s="2" t="s">
        <v>78</v>
      </c>
      <c r="G24" s="2" t="s">
        <v>12</v>
      </c>
      <c r="H24" s="2" t="s">
        <v>92</v>
      </c>
    </row>
    <row r="25" customFormat="false" ht="23.85" hidden="false" customHeight="false" outlineLevel="0" collapsed="false">
      <c r="A25" s="3" t="n">
        <v>24</v>
      </c>
      <c r="B25" s="3" t="s">
        <v>78</v>
      </c>
      <c r="C25" s="3" t="s">
        <v>93</v>
      </c>
      <c r="D25" s="3" t="s">
        <v>94</v>
      </c>
      <c r="E25" s="3" t="s">
        <v>95</v>
      </c>
      <c r="F25" s="3" t="s">
        <v>78</v>
      </c>
      <c r="G25" s="3" t="s">
        <v>21</v>
      </c>
      <c r="H25" s="3" t="s">
        <v>96</v>
      </c>
    </row>
    <row r="26" customFormat="false" ht="23.85" hidden="false" customHeight="false" outlineLevel="0" collapsed="false">
      <c r="A26" s="2" t="n">
        <v>25</v>
      </c>
      <c r="B26" s="2" t="s">
        <v>78</v>
      </c>
      <c r="C26" s="2" t="s">
        <v>97</v>
      </c>
      <c r="D26" s="2" t="s">
        <v>98</v>
      </c>
      <c r="E26" s="2" t="s">
        <v>11</v>
      </c>
      <c r="F26" s="2" t="s">
        <v>78</v>
      </c>
      <c r="G26" s="2" t="s">
        <v>12</v>
      </c>
      <c r="H26" s="2" t="s">
        <v>99</v>
      </c>
    </row>
    <row r="27" customFormat="false" ht="23.85" hidden="false" customHeight="false" outlineLevel="0" collapsed="false">
      <c r="A27" s="2" t="n">
        <v>26</v>
      </c>
      <c r="B27" s="2" t="s">
        <v>78</v>
      </c>
      <c r="C27" s="2" t="s">
        <v>100</v>
      </c>
      <c r="D27" s="2" t="s">
        <v>101</v>
      </c>
      <c r="E27" s="2" t="s">
        <v>16</v>
      </c>
      <c r="F27" s="2" t="s">
        <v>78</v>
      </c>
      <c r="G27" s="2" t="s">
        <v>12</v>
      </c>
      <c r="H27" s="2" t="s">
        <v>102</v>
      </c>
    </row>
    <row r="28" customFormat="false" ht="23.85" hidden="false" customHeight="false" outlineLevel="0" collapsed="false">
      <c r="A28" s="2" t="n">
        <v>27</v>
      </c>
      <c r="B28" s="2" t="s">
        <v>78</v>
      </c>
      <c r="C28" s="2" t="s">
        <v>103</v>
      </c>
      <c r="D28" s="2" t="s">
        <v>104</v>
      </c>
      <c r="E28" s="2" t="s">
        <v>16</v>
      </c>
      <c r="F28" s="2" t="s">
        <v>78</v>
      </c>
      <c r="G28" s="2" t="s">
        <v>12</v>
      </c>
      <c r="H28" s="2" t="s">
        <v>105</v>
      </c>
    </row>
    <row r="29" customFormat="false" ht="23.85" hidden="false" customHeight="false" outlineLevel="0" collapsed="false">
      <c r="A29" s="2" t="n">
        <v>28</v>
      </c>
      <c r="B29" s="2" t="s">
        <v>78</v>
      </c>
      <c r="C29" s="2" t="s">
        <v>106</v>
      </c>
      <c r="D29" s="2" t="s">
        <v>107</v>
      </c>
      <c r="E29" s="2" t="s">
        <v>11</v>
      </c>
      <c r="F29" s="2" t="s">
        <v>78</v>
      </c>
      <c r="G29" s="2" t="s">
        <v>12</v>
      </c>
      <c r="H29" s="2" t="s">
        <v>108</v>
      </c>
    </row>
    <row r="30" customFormat="false" ht="23.85" hidden="false" customHeight="false" outlineLevel="0" collapsed="false">
      <c r="A30" s="2" t="n">
        <v>29</v>
      </c>
      <c r="B30" s="2" t="s">
        <v>78</v>
      </c>
      <c r="C30" s="2" t="s">
        <v>109</v>
      </c>
      <c r="D30" s="2" t="s">
        <v>110</v>
      </c>
      <c r="E30" s="2" t="s">
        <v>11</v>
      </c>
      <c r="F30" s="2" t="s">
        <v>78</v>
      </c>
      <c r="G30" s="2" t="s">
        <v>12</v>
      </c>
      <c r="H30" s="2" t="s">
        <v>111</v>
      </c>
    </row>
    <row r="31" customFormat="false" ht="15" hidden="false" customHeight="false" outlineLevel="0" collapsed="false">
      <c r="A31" s="2" t="n">
        <v>30</v>
      </c>
      <c r="B31" s="2" t="s">
        <v>78</v>
      </c>
      <c r="C31" s="2" t="s">
        <v>112</v>
      </c>
      <c r="D31" s="2" t="s">
        <v>113</v>
      </c>
      <c r="E31" s="2" t="s">
        <v>16</v>
      </c>
      <c r="F31" s="2" t="s">
        <v>78</v>
      </c>
      <c r="G31" s="2" t="s">
        <v>12</v>
      </c>
      <c r="H31" s="2" t="s">
        <v>114</v>
      </c>
    </row>
    <row r="32" customFormat="false" ht="23.85" hidden="false" customHeight="false" outlineLevel="0" collapsed="false">
      <c r="A32" s="2" t="n">
        <v>31</v>
      </c>
      <c r="B32" s="2" t="s">
        <v>115</v>
      </c>
      <c r="C32" s="2" t="s">
        <v>116</v>
      </c>
      <c r="D32" s="2" t="s">
        <v>117</v>
      </c>
      <c r="E32" s="2" t="s">
        <v>16</v>
      </c>
      <c r="F32" s="2" t="s">
        <v>115</v>
      </c>
      <c r="G32" s="2" t="s">
        <v>12</v>
      </c>
      <c r="H32" s="2" t="s">
        <v>118</v>
      </c>
    </row>
    <row r="33" customFormat="false" ht="23.85" hidden="false" customHeight="false" outlineLevel="0" collapsed="false">
      <c r="A33" s="2" t="n">
        <v>32</v>
      </c>
      <c r="B33" s="2" t="s">
        <v>115</v>
      </c>
      <c r="C33" s="2" t="s">
        <v>119</v>
      </c>
      <c r="D33" s="2" t="s">
        <v>120</v>
      </c>
      <c r="E33" s="2" t="s">
        <v>50</v>
      </c>
      <c r="F33" s="2" t="s">
        <v>115</v>
      </c>
      <c r="G33" s="2" t="s">
        <v>12</v>
      </c>
      <c r="H33" s="2" t="s">
        <v>121</v>
      </c>
    </row>
    <row r="34" customFormat="false" ht="23.85" hidden="false" customHeight="false" outlineLevel="0" collapsed="false">
      <c r="A34" s="2" t="n">
        <v>33</v>
      </c>
      <c r="B34" s="2" t="s">
        <v>115</v>
      </c>
      <c r="C34" s="2" t="s">
        <v>122</v>
      </c>
      <c r="D34" s="2" t="s">
        <v>123</v>
      </c>
      <c r="E34" s="2" t="s">
        <v>16</v>
      </c>
      <c r="F34" s="2" t="s">
        <v>115</v>
      </c>
      <c r="G34" s="2" t="s">
        <v>12</v>
      </c>
      <c r="H34" s="2" t="s">
        <v>124</v>
      </c>
    </row>
    <row r="35" customFormat="false" ht="35.05" hidden="false" customHeight="false" outlineLevel="0" collapsed="false">
      <c r="A35" s="4" t="n">
        <v>34</v>
      </c>
      <c r="B35" s="4" t="s">
        <v>115</v>
      </c>
      <c r="C35" s="4" t="s">
        <v>125</v>
      </c>
      <c r="D35" s="4" t="s">
        <v>126</v>
      </c>
      <c r="E35" s="4" t="s">
        <v>16</v>
      </c>
      <c r="F35" s="4" t="s">
        <v>127</v>
      </c>
      <c r="G35" s="4" t="s">
        <v>128</v>
      </c>
      <c r="H35" s="4" t="s">
        <v>129</v>
      </c>
    </row>
    <row r="36" customFormat="false" ht="23.85" hidden="false" customHeight="false" outlineLevel="0" collapsed="false">
      <c r="A36" s="2" t="n">
        <v>35</v>
      </c>
      <c r="B36" s="2" t="s">
        <v>54</v>
      </c>
      <c r="C36" s="2" t="s">
        <v>130</v>
      </c>
      <c r="D36" s="2" t="s">
        <v>131</v>
      </c>
      <c r="E36" s="2" t="s">
        <v>16</v>
      </c>
      <c r="F36" s="2" t="s">
        <v>54</v>
      </c>
      <c r="G36" s="2" t="s">
        <v>12</v>
      </c>
      <c r="H36" s="2" t="s">
        <v>132</v>
      </c>
    </row>
    <row r="37" customFormat="false" ht="23.85" hidden="false" customHeight="false" outlineLevel="0" collapsed="false">
      <c r="A37" s="2" t="n">
        <v>36</v>
      </c>
      <c r="B37" s="2" t="s">
        <v>54</v>
      </c>
      <c r="C37" s="2" t="s">
        <v>133</v>
      </c>
      <c r="D37" s="2" t="s">
        <v>134</v>
      </c>
      <c r="E37" s="2" t="s">
        <v>16</v>
      </c>
      <c r="F37" s="2" t="s">
        <v>54</v>
      </c>
      <c r="G37" s="2" t="s">
        <v>12</v>
      </c>
      <c r="H37" s="2" t="s">
        <v>135</v>
      </c>
    </row>
    <row r="38" customFormat="false" ht="35.05" hidden="false" customHeight="false" outlineLevel="0" collapsed="false">
      <c r="A38" s="4" t="n">
        <v>37</v>
      </c>
      <c r="B38" s="4" t="s">
        <v>54</v>
      </c>
      <c r="C38" s="4" t="s">
        <v>136</v>
      </c>
      <c r="D38" s="4" t="s">
        <v>137</v>
      </c>
      <c r="E38" s="4" t="s">
        <v>50</v>
      </c>
      <c r="F38" s="4" t="s">
        <v>115</v>
      </c>
      <c r="G38" s="4" t="s">
        <v>35</v>
      </c>
      <c r="H38" s="4" t="s">
        <v>138</v>
      </c>
    </row>
    <row r="39" customFormat="false" ht="23.85" hidden="false" customHeight="false" outlineLevel="0" collapsed="false">
      <c r="A39" s="2" t="n">
        <v>38</v>
      </c>
      <c r="B39" s="2" t="s">
        <v>139</v>
      </c>
      <c r="C39" s="2" t="s">
        <v>140</v>
      </c>
      <c r="D39" s="2" t="s">
        <v>141</v>
      </c>
      <c r="E39" s="2" t="s">
        <v>16</v>
      </c>
      <c r="F39" s="2" t="s">
        <v>139</v>
      </c>
      <c r="G39" s="2" t="s">
        <v>12</v>
      </c>
      <c r="H39" s="2" t="s">
        <v>142</v>
      </c>
    </row>
    <row r="40" customFormat="false" ht="35.05" hidden="false" customHeight="false" outlineLevel="0" collapsed="false">
      <c r="A40" s="2" t="n">
        <v>39</v>
      </c>
      <c r="B40" s="2" t="s">
        <v>139</v>
      </c>
      <c r="C40" s="2" t="s">
        <v>143</v>
      </c>
      <c r="D40" s="2" t="s">
        <v>144</v>
      </c>
      <c r="E40" s="2" t="s">
        <v>16</v>
      </c>
      <c r="F40" s="2" t="s">
        <v>139</v>
      </c>
      <c r="G40" s="2" t="s">
        <v>12</v>
      </c>
      <c r="H40" s="2" t="s">
        <v>145</v>
      </c>
    </row>
    <row r="41" customFormat="false" ht="23.85" hidden="false" customHeight="false" outlineLevel="0" collapsed="false">
      <c r="A41" s="2" t="n">
        <v>40</v>
      </c>
      <c r="B41" s="2" t="s">
        <v>139</v>
      </c>
      <c r="C41" s="2" t="s">
        <v>146</v>
      </c>
      <c r="D41" s="2" t="s">
        <v>147</v>
      </c>
      <c r="E41" s="2" t="s">
        <v>50</v>
      </c>
      <c r="F41" s="2" t="s">
        <v>139</v>
      </c>
      <c r="G41" s="2" t="s">
        <v>12</v>
      </c>
      <c r="H41" s="2" t="s">
        <v>148</v>
      </c>
    </row>
    <row r="42" customFormat="false" ht="46.25" hidden="false" customHeight="false" outlineLevel="0" collapsed="false">
      <c r="A42" s="3" t="n">
        <v>41</v>
      </c>
      <c r="B42" s="3" t="s">
        <v>139</v>
      </c>
      <c r="C42" s="3" t="s">
        <v>149</v>
      </c>
      <c r="D42" s="3" t="s">
        <v>150</v>
      </c>
      <c r="E42" s="3" t="s">
        <v>151</v>
      </c>
      <c r="F42" s="3" t="s">
        <v>139</v>
      </c>
      <c r="G42" s="3" t="s">
        <v>21</v>
      </c>
      <c r="H42" s="3" t="s">
        <v>152</v>
      </c>
    </row>
    <row r="43" customFormat="false" ht="46.25" hidden="false" customHeight="false" outlineLevel="0" collapsed="false">
      <c r="A43" s="3" t="n">
        <v>42</v>
      </c>
      <c r="B43" s="3" t="s">
        <v>139</v>
      </c>
      <c r="C43" s="3" t="s">
        <v>153</v>
      </c>
      <c r="D43" s="3" t="s">
        <v>154</v>
      </c>
      <c r="E43" s="3" t="s">
        <v>155</v>
      </c>
      <c r="F43" s="3" t="s">
        <v>139</v>
      </c>
      <c r="G43" s="3" t="s">
        <v>21</v>
      </c>
      <c r="H43" s="3" t="s">
        <v>156</v>
      </c>
    </row>
    <row r="44" customFormat="false" ht="23.85" hidden="false" customHeight="false" outlineLevel="0" collapsed="false">
      <c r="A44" s="2" t="n">
        <v>43</v>
      </c>
      <c r="B44" s="2" t="s">
        <v>157</v>
      </c>
      <c r="C44" s="2" t="s">
        <v>158</v>
      </c>
      <c r="D44" s="2" t="s">
        <v>159</v>
      </c>
      <c r="E44" s="2" t="s">
        <v>50</v>
      </c>
      <c r="F44" s="2" t="s">
        <v>157</v>
      </c>
      <c r="G44" s="2" t="s">
        <v>12</v>
      </c>
      <c r="H44" s="2" t="s">
        <v>160</v>
      </c>
    </row>
    <row r="45" customFormat="false" ht="23.85" hidden="false" customHeight="false" outlineLevel="0" collapsed="false">
      <c r="A45" s="2" t="n">
        <v>44</v>
      </c>
      <c r="B45" s="2" t="s">
        <v>157</v>
      </c>
      <c r="C45" s="2" t="s">
        <v>161</v>
      </c>
      <c r="D45" s="2" t="s">
        <v>162</v>
      </c>
      <c r="E45" s="2" t="s">
        <v>50</v>
      </c>
      <c r="F45" s="2" t="s">
        <v>157</v>
      </c>
      <c r="G45" s="2" t="s">
        <v>163</v>
      </c>
      <c r="H45" s="2" t="s">
        <v>164</v>
      </c>
    </row>
    <row r="46" customFormat="false" ht="23.85" hidden="false" customHeight="false" outlineLevel="0" collapsed="false">
      <c r="A46" s="2" t="n">
        <v>45</v>
      </c>
      <c r="B46" s="2" t="s">
        <v>157</v>
      </c>
      <c r="C46" s="2" t="s">
        <v>165</v>
      </c>
      <c r="D46" s="2" t="s">
        <v>166</v>
      </c>
      <c r="E46" s="2" t="s">
        <v>50</v>
      </c>
      <c r="F46" s="2" t="s">
        <v>157</v>
      </c>
      <c r="G46" s="2" t="s">
        <v>163</v>
      </c>
      <c r="H46" s="2" t="s">
        <v>167</v>
      </c>
    </row>
    <row r="47" customFormat="false" ht="23.85" hidden="false" customHeight="false" outlineLevel="0" collapsed="false">
      <c r="A47" s="2" t="n">
        <v>46</v>
      </c>
      <c r="B47" s="2" t="s">
        <v>157</v>
      </c>
      <c r="C47" s="2" t="s">
        <v>168</v>
      </c>
      <c r="D47" s="2" t="s">
        <v>169</v>
      </c>
      <c r="E47" s="2" t="s">
        <v>50</v>
      </c>
      <c r="F47" s="2" t="s">
        <v>157</v>
      </c>
      <c r="G47" s="2" t="s">
        <v>12</v>
      </c>
      <c r="H47" s="2" t="s">
        <v>170</v>
      </c>
    </row>
    <row r="48" customFormat="false" ht="23.85" hidden="false" customHeight="false" outlineLevel="0" collapsed="false">
      <c r="A48" s="2" t="n">
        <v>47</v>
      </c>
      <c r="B48" s="2" t="s">
        <v>157</v>
      </c>
      <c r="C48" s="2" t="s">
        <v>171</v>
      </c>
      <c r="D48" s="2" t="s">
        <v>172</v>
      </c>
      <c r="E48" s="2" t="s">
        <v>50</v>
      </c>
      <c r="F48" s="2" t="s">
        <v>157</v>
      </c>
      <c r="G48" s="2" t="s">
        <v>173</v>
      </c>
      <c r="H48" s="2" t="s">
        <v>174</v>
      </c>
    </row>
    <row r="49" customFormat="false" ht="23.85" hidden="false" customHeight="false" outlineLevel="0" collapsed="false">
      <c r="A49" s="2" t="n">
        <v>48</v>
      </c>
      <c r="B49" s="2" t="s">
        <v>157</v>
      </c>
      <c r="C49" s="2" t="s">
        <v>175</v>
      </c>
      <c r="D49" s="2" t="s">
        <v>176</v>
      </c>
      <c r="E49" s="2" t="s">
        <v>50</v>
      </c>
      <c r="F49" s="2" t="s">
        <v>157</v>
      </c>
      <c r="G49" s="2" t="s">
        <v>173</v>
      </c>
      <c r="H49" s="2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5" t="s">
        <v>178</v>
      </c>
    </row>
    <row r="3" customFormat="false" ht="15" hidden="false" customHeight="false" outlineLevel="0" collapsed="false">
      <c r="A3" s="6" t="s">
        <v>4</v>
      </c>
      <c r="B3" s="6" t="s">
        <v>179</v>
      </c>
    </row>
    <row r="4" customFormat="false" ht="15" hidden="false" customHeight="false" outlineLevel="0" collapsed="false">
      <c r="A4" s="7" t="s">
        <v>11</v>
      </c>
      <c r="B4" s="7" t="n">
        <f aca="false">COUNTIF('Kategorisasi Dataset'!E:E,A4)</f>
        <v>12</v>
      </c>
    </row>
    <row r="5" customFormat="false" ht="15" hidden="false" customHeight="false" outlineLevel="0" collapsed="false">
      <c r="A5" s="7" t="s">
        <v>16</v>
      </c>
      <c r="B5" s="7" t="n">
        <f aca="false">COUNTIF('Kategorisasi Dataset'!E:E,A5)</f>
        <v>17</v>
      </c>
    </row>
    <row r="6" customFormat="false" ht="15" hidden="false" customHeight="false" outlineLevel="0" collapsed="false">
      <c r="A6" s="7" t="s">
        <v>50</v>
      </c>
      <c r="B6" s="7" t="n">
        <f aca="false">COUNTIF('Kategorisasi Dataset'!E:E,A6)</f>
        <v>15</v>
      </c>
    </row>
    <row r="7" customFormat="false" ht="15" hidden="false" customHeight="false" outlineLevel="0" collapsed="false">
      <c r="A7" s="7" t="s">
        <v>87</v>
      </c>
      <c r="B7" s="7" t="n">
        <f aca="false">COUNTIF('Kategorisasi Dataset'!E:E,A7)</f>
        <v>1</v>
      </c>
    </row>
    <row r="8" customFormat="false" ht="15" hidden="false" customHeight="false" outlineLevel="0" collapsed="false">
      <c r="A8" s="7" t="s">
        <v>95</v>
      </c>
      <c r="B8" s="7" t="n">
        <f aca="false">COUNTIF('Kategorisasi Dataset'!E:E,A8)</f>
        <v>1</v>
      </c>
    </row>
    <row r="9" customFormat="false" ht="15" hidden="false" customHeight="false" outlineLevel="0" collapsed="false">
      <c r="A9" s="7" t="s">
        <v>151</v>
      </c>
      <c r="B9" s="7" t="n">
        <f aca="false">COUNTIF('Kategorisasi Dataset'!E:E,A9)</f>
        <v>1</v>
      </c>
    </row>
    <row r="10" customFormat="false" ht="15" hidden="false" customHeight="false" outlineLevel="0" collapsed="false">
      <c r="A10" s="7" t="s">
        <v>155</v>
      </c>
      <c r="B10" s="7" t="n">
        <f aca="false">COUNTIF('Kategorisasi Dataset'!E:E,A10)</f>
        <v>1</v>
      </c>
    </row>
    <row r="11" customFormat="false" ht="15" hidden="false" customHeight="false" outlineLevel="0" collapsed="false">
      <c r="A11" s="7"/>
      <c r="B11" s="7"/>
    </row>
    <row r="12" customFormat="false" ht="15" hidden="false" customHeight="false" outlineLevel="0" collapsed="false">
      <c r="A12" s="7" t="s">
        <v>180</v>
      </c>
      <c r="B12" s="7" t="n">
        <f aca="false">COUNTA('Kategorisasi Dataset'!A2:A1000)</f>
        <v>48</v>
      </c>
    </row>
    <row r="13" customFormat="false" ht="15" hidden="false" customHeight="false" outlineLevel="0" collapsed="false">
      <c r="A13" s="6"/>
      <c r="B13" s="6"/>
    </row>
    <row r="14" customFormat="false" ht="15" hidden="false" customHeight="false" outlineLevel="0" collapsed="false">
      <c r="A14" s="7" t="s">
        <v>6</v>
      </c>
      <c r="B14" s="7" t="s">
        <v>181</v>
      </c>
    </row>
    <row r="15" customFormat="false" ht="15" hidden="false" customHeight="false" outlineLevel="0" collapsed="false">
      <c r="A15" s="7" t="s">
        <v>12</v>
      </c>
      <c r="B15" s="7" t="n">
        <f aca="false">COUNTIF('Kategorisasi Dataset'!G:G,A15&amp;"*")</f>
        <v>36</v>
      </c>
    </row>
    <row r="16" customFormat="false" ht="15" hidden="false" customHeight="false" outlineLevel="0" collapsed="false">
      <c r="A16" s="7" t="s">
        <v>35</v>
      </c>
      <c r="B16" s="7" t="n">
        <f aca="false">COUNTIF('Kategorisasi Dataset'!G:G,A16&amp;"*")</f>
        <v>4</v>
      </c>
    </row>
    <row r="17" customFormat="false" ht="15" hidden="false" customHeight="false" outlineLevel="0" collapsed="false">
      <c r="A17" s="7" t="s">
        <v>128</v>
      </c>
      <c r="B17" s="7" t="n">
        <f aca="false">COUNTIF('Kategorisasi Dataset'!G:G,A17&amp;"*")</f>
        <v>1</v>
      </c>
    </row>
    <row r="18" customFormat="false" ht="15" hidden="false" customHeight="false" outlineLevel="0" collapsed="false">
      <c r="A18" s="7" t="s">
        <v>21</v>
      </c>
      <c r="B18" s="7" t="n">
        <f aca="false">COUNTIF('Kategorisasi Dataset'!G:G,A18&amp;"*")</f>
        <v>6</v>
      </c>
    </row>
    <row r="19" customFormat="false" ht="15" hidden="false" customHeight="false" outlineLevel="0" collapsed="false">
      <c r="A19" s="7" t="s">
        <v>73</v>
      </c>
      <c r="B19" s="7" t="n">
        <f aca="false">COUNTIF('Kategorisasi Dataset'!G:G,A19&amp;"*")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2026-09-05T04:38:43Z</dcterms:created>
  <dc:creator>openpyxl</dc:creator>
  <dc:description/>
  <dc:language>en-US</dc:language>
  <cp:lastModifiedBy/>
  <dcterms:modified xsi:type="dcterms:W3CDTF">2026-09-05T04:38:43Z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